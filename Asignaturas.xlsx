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1'!$A$1:$H$56</definedName>
  </definedNames>
  <calcPr/>
</workbook>
</file>

<file path=xl/sharedStrings.xml><?xml version="1.0" encoding="utf-8"?>
<sst xmlns="http://schemas.openxmlformats.org/spreadsheetml/2006/main" count="286" uniqueCount="141">
  <si>
    <t>Asignatura</t>
  </si>
  <si>
    <t>Tipo</t>
  </si>
  <si>
    <t>Créditos</t>
  </si>
  <si>
    <t>Itinerarios</t>
  </si>
  <si>
    <t>Materia</t>
  </si>
  <si>
    <t>Semestre</t>
  </si>
  <si>
    <t>Es recomendable haber superado</t>
  </si>
  <si>
    <t>Superados</t>
  </si>
  <si>
    <r>
      <rPr>
        <rFont val="uoc-sans, Arial"/>
        <color theme="1"/>
        <sz val="14.0"/>
      </rPr>
      <t>Fundamentos de programación</t>
    </r>
  </si>
  <si>
    <t>Básica</t>
  </si>
  <si>
    <t>Informática</t>
  </si>
  <si>
    <t>Todos</t>
  </si>
  <si>
    <t>-</t>
  </si>
  <si>
    <t>Total créditos superados:</t>
  </si>
  <si>
    <t>de</t>
  </si>
  <si>
    <r>
      <rPr>
        <rFont val="uoc-sans, Arial"/>
        <color theme="1"/>
        <sz val="14.0"/>
      </rPr>
      <t>Prácticas de programación</t>
    </r>
  </si>
  <si>
    <t>Fundamentos de programación</t>
  </si>
  <si>
    <r>
      <rPr>
        <rFont val="uoc-sans, Arial"/>
        <color theme="1"/>
        <sz val="14.0"/>
      </rPr>
      <t>Administración y gestión de organizaciones</t>
    </r>
  </si>
  <si>
    <t>Empresa</t>
  </si>
  <si>
    <t>Quedan:</t>
  </si>
  <si>
    <t>créditos</t>
  </si>
  <si>
    <r>
      <rPr>
        <rFont val="uoc-sans, Arial"/>
        <color theme="1"/>
        <sz val="14.0"/>
      </rPr>
      <t>Álgebra</t>
    </r>
  </si>
  <si>
    <t>Matemáticas</t>
  </si>
  <si>
    <t>asignaturas</t>
  </si>
  <si>
    <r>
      <rPr>
        <rFont val="uoc-sans, Arial"/>
        <color theme="1"/>
        <sz val="14.0"/>
      </rPr>
      <t>Análisis matemático</t>
    </r>
  </si>
  <si>
    <t>Álgebra</t>
  </si>
  <si>
    <t>semestres</t>
  </si>
  <si>
    <t>(3 asignaturas por semeste)</t>
  </si>
  <si>
    <r>
      <rPr>
        <rFont val="uoc-sans, Arial"/>
        <color theme="1"/>
        <sz val="14.0"/>
      </rPr>
      <t>Estadística</t>
    </r>
  </si>
  <si>
    <t>años</t>
  </si>
  <si>
    <r>
      <rPr>
        <rFont val="uoc-sans, Arial"/>
        <color theme="1"/>
        <sz val="14.0"/>
      </rPr>
      <t>Fundamentos de computadores</t>
    </r>
  </si>
  <si>
    <r>
      <rPr>
        <rFont val="uoc-sans, Arial"/>
        <color theme="1"/>
        <sz val="14.0"/>
      </rPr>
      <t>Fundamentos físicos de la informática</t>
    </r>
  </si>
  <si>
    <t>Física</t>
  </si>
  <si>
    <t>Álgebra
Análisis matemático</t>
  </si>
  <si>
    <r>
      <rPr>
        <rFont val="uoc-sans, Arial"/>
        <color theme="1"/>
        <sz val="14.0"/>
      </rPr>
      <t>Lógica</t>
    </r>
  </si>
  <si>
    <t>Trabajo en equipo en la red</t>
  </si>
  <si>
    <r>
      <rPr>
        <rFont val="uoc-sans, Arial"/>
        <color theme="1"/>
        <sz val="14.0"/>
      </rPr>
      <t>Diseño de bases de datos</t>
    </r>
  </si>
  <si>
    <t>Obligatoria</t>
  </si>
  <si>
    <t>Uso de base de datos</t>
  </si>
  <si>
    <r>
      <rPr>
        <rFont val="uoc-sans, Arial"/>
        <color theme="1"/>
        <sz val="14.0"/>
      </rPr>
      <t>Diseño y programación orientada a objetos</t>
    </r>
  </si>
  <si>
    <t>Ingeniería del software
Prácticas de programación</t>
  </si>
  <si>
    <r>
      <rPr>
        <rFont val="uoc-sans, Arial"/>
        <color theme="1"/>
        <sz val="14.0"/>
      </rPr>
      <t>Ingeniería del software</t>
    </r>
  </si>
  <si>
    <t>Semestres</t>
  </si>
  <si>
    <t>Créditos cursados</t>
  </si>
  <si>
    <t>superados</t>
  </si>
  <si>
    <r>
      <rPr>
        <rFont val="uoc-sans, Arial"/>
        <color theme="1"/>
        <sz val="14.0"/>
      </rPr>
      <t>Uso de bases de datos</t>
    </r>
  </si>
  <si>
    <t>Diseño y programación OO</t>
  </si>
  <si>
    <t>1º (2024-25/2)</t>
  </si>
  <si>
    <r>
      <rPr>
        <rFont val="uoc-sans, Arial"/>
        <color theme="1"/>
        <sz val="14.0"/>
      </rPr>
      <t>Administración de redes y sistemas operativos</t>
    </r>
  </si>
  <si>
    <t>Sistemas operativos</t>
  </si>
  <si>
    <t>2º (2025-26/1)</t>
  </si>
  <si>
    <r>
      <rPr>
        <rFont val="uoc-sans, Arial"/>
        <color theme="1"/>
        <sz val="14.0"/>
      </rPr>
      <t>Competencia comunicativa para profesionales de las TIC</t>
    </r>
  </si>
  <si>
    <t>3º (2025-26/2)</t>
  </si>
  <si>
    <t>en curso</t>
  </si>
  <si>
    <r>
      <rPr>
        <rFont val="uoc-sans, Arial"/>
        <color theme="1"/>
        <sz val="14.0"/>
      </rPr>
      <t>Estructura de computadores</t>
    </r>
  </si>
  <si>
    <t>Fundamentos de computadores
Fundamentos de programación</t>
  </si>
  <si>
    <r>
      <rPr>
        <rFont val="uoc-sans, Arial"/>
        <color theme="1"/>
        <sz val="14.0"/>
      </rPr>
      <t>Gestión de proyectos</t>
    </r>
  </si>
  <si>
    <t>Administración y gestión de organizaciones</t>
  </si>
  <si>
    <r>
      <rPr>
        <rFont val="uoc-sans, Arial"/>
        <color theme="1"/>
        <sz val="14.0"/>
      </rPr>
      <t>Grafos y complejidad</t>
    </r>
  </si>
  <si>
    <t>Álgebra
Lógica
Prácticas de programación</t>
  </si>
  <si>
    <r>
      <rPr>
        <rFont val="uoc-sans, Arial"/>
        <color theme="1"/>
        <sz val="14.0"/>
      </rPr>
      <t>Idioma moderno I: inglés</t>
    </r>
  </si>
  <si>
    <r>
      <rPr>
        <rFont val="uoc-sans, Arial"/>
        <color theme="1"/>
        <sz val="14.0"/>
      </rPr>
      <t>Idioma moderno II: inglés</t>
    </r>
  </si>
  <si>
    <t>Idioma moderno I: inglés</t>
  </si>
  <si>
    <r>
      <rPr>
        <rFont val="uoc-sans, Arial"/>
        <color theme="1"/>
        <sz val="14.0"/>
      </rPr>
      <t>Inteligencia artificial</t>
    </r>
  </si>
  <si>
    <t>Grafos y complejidad</t>
  </si>
  <si>
    <r>
      <rPr>
        <rFont val="uoc-sans, Arial"/>
        <color theme="1"/>
        <sz val="14.0"/>
      </rPr>
      <t>Interacción persona ordenador</t>
    </r>
  </si>
  <si>
    <t>Ingeniería del software</t>
  </si>
  <si>
    <r>
      <rPr>
        <rFont val="uoc-sans, Arial"/>
        <color theme="1"/>
        <sz val="14.0"/>
      </rPr>
      <t>Sistemas distribuidos</t>
    </r>
  </si>
  <si>
    <t>Redes y aplicaciones Internet</t>
  </si>
  <si>
    <r>
      <rPr>
        <rFont val="uoc-sans, Arial"/>
        <color theme="1"/>
        <sz val="14.0"/>
      </rPr>
      <t>Sistemas operativos</t>
    </r>
  </si>
  <si>
    <t>Estructura de computadores
Prácticas de programación</t>
  </si>
  <si>
    <r>
      <rPr>
        <rFont val="uoc-sans, Arial"/>
        <color theme="1"/>
        <sz val="14.0"/>
      </rPr>
      <t>Redes y aplicaciones Internet</t>
    </r>
  </si>
  <si>
    <t>Diseño y programación OO
Sistemas operativos</t>
  </si>
  <si>
    <r>
      <rPr>
        <rFont val="uoc-sans, Arial"/>
        <sz val="14.0"/>
      </rPr>
      <t>Trabajo final de grado</t>
    </r>
    <r>
      <rPr>
        <rFont val="uoc-sans, Arial"/>
        <sz val="14.0"/>
      </rPr>
      <t xml:space="preserve"> / Más información sobre el trámite </t>
    </r>
    <r>
      <rPr>
        <rFont val="uoc-sans, Arial"/>
        <sz val="14.0"/>
      </rPr>
      <t>Solicitud del trabajo final</t>
    </r>
  </si>
  <si>
    <t>Ingeniería de computadores
Ingeniería del software
Computación
Tecnologías de la información
Sistemas de información</t>
  </si>
  <si>
    <t>Asignaturas del itinerario correspondiente (se pueden cursar algunas en paralelo) / Haber superado 180 créditos / Tener superada la asignatura Gestión de proyectos.</t>
  </si>
  <si>
    <r>
      <rPr>
        <rFont val="uoc-sans, Arial"/>
        <color theme="1"/>
        <sz val="14.0"/>
      </rPr>
      <t>Iniciativa emprendedora</t>
    </r>
  </si>
  <si>
    <t>Optativa</t>
  </si>
  <si>
    <t>Sistemas de información</t>
  </si>
  <si>
    <t>Septiembre-febrero</t>
  </si>
  <si>
    <t>Gestión de Proyectos</t>
  </si>
  <si>
    <r>
      <rPr>
        <rFont val="uoc-sans, Arial"/>
        <sz val="14.0"/>
      </rPr>
      <t>Prácticas en empresa</t>
    </r>
    <r>
      <rPr>
        <rFont val="uoc-sans, Arial"/>
        <sz val="14.0"/>
      </rPr>
      <t xml:space="preserve"> / </t>
    </r>
    <r>
      <rPr>
        <rFont val="uoc-sans, Arial"/>
        <sz val="14.0"/>
      </rPr>
      <t>Més información sobre la matrícula de aquesta asignatura</t>
    </r>
  </si>
  <si>
    <t>Haber superado 120 créditos</t>
  </si>
  <si>
    <r>
      <rPr>
        <rFont val="uoc-sans, Arial"/>
        <color theme="1"/>
        <sz val="14.0"/>
      </rPr>
      <t>Análisis y diseño de patrones</t>
    </r>
  </si>
  <si>
    <t>Diseño y programación OO
Ingeniería del Software</t>
  </si>
  <si>
    <r>
      <rPr>
        <rFont val="uoc-sans, Arial"/>
        <color theme="1"/>
        <sz val="14.0"/>
      </rPr>
      <t>Aprendizaje computacional</t>
    </r>
  </si>
  <si>
    <t>Computación</t>
  </si>
  <si>
    <t>Febrero-junio</t>
  </si>
  <si>
    <t>Inteligencia artificial</t>
  </si>
  <si>
    <r>
      <rPr>
        <rFont val="uoc-sans, Arial"/>
        <color theme="1"/>
        <sz val="14.0"/>
      </rPr>
      <t>Arquitecturas de computadores avanzados</t>
    </r>
  </si>
  <si>
    <t>Ingeniería de computadores</t>
  </si>
  <si>
    <t>Arquitectura de computadores</t>
  </si>
  <si>
    <r>
      <rPr>
        <rFont val="uoc-sans, Arial"/>
        <color theme="1"/>
        <sz val="14.0"/>
      </rPr>
      <t>Arquitectura de bases de datos</t>
    </r>
  </si>
  <si>
    <t>Tecnologías de la información</t>
  </si>
  <si>
    <t>Diseño de base de datos</t>
  </si>
  <si>
    <r>
      <rPr>
        <rFont val="uoc-sans, Arial"/>
        <color theme="1"/>
        <sz val="14.0"/>
      </rPr>
      <t>Arquitectura de computadores</t>
    </r>
  </si>
  <si>
    <r>
      <rPr>
        <rFont val="uoc-sans, Arial"/>
        <color theme="1"/>
        <sz val="14.0"/>
      </rPr>
      <t>Autómatas y gramáticas</t>
    </r>
  </si>
  <si>
    <t>Álgebra
Grafos y complejidad</t>
  </si>
  <si>
    <r>
      <rPr>
        <rFont val="uoc-sans, Arial"/>
        <color theme="1"/>
        <sz val="14.0"/>
      </rPr>
      <t>Comercio electrónico</t>
    </r>
  </si>
  <si>
    <r>
      <rPr>
        <rFont val="uoc-sans, Arial"/>
        <color theme="1"/>
        <sz val="14.0"/>
      </rPr>
      <t>Compiladores</t>
    </r>
  </si>
  <si>
    <t>Autómatas y gramáticas
Estuctura de computadores
Diseño y programación orientada a objetos</t>
  </si>
  <si>
    <r>
      <rPr>
        <rFont val="uoc-sans, Arial"/>
        <color theme="1"/>
        <sz val="14.0"/>
      </rPr>
      <t>Criptografía</t>
    </r>
  </si>
  <si>
    <t>Álgebra
Diseño y programación OO
Grafos y complejidad</t>
  </si>
  <si>
    <r>
      <rPr>
        <rFont val="uoc-sans, Arial"/>
        <color theme="1"/>
        <sz val="14.0"/>
      </rPr>
      <t>Planificación y uso estratégico de SI</t>
    </r>
  </si>
  <si>
    <t>Gestión Funcional de servicios de SI/TI
Uso de sistemas de información en las organizaciones</t>
  </si>
  <si>
    <r>
      <rPr>
        <rFont val="uoc-sans, Arial"/>
        <color theme="1"/>
        <sz val="14.0"/>
      </rPr>
      <t>Diseño de estructuras de datos</t>
    </r>
  </si>
  <si>
    <t>Ingeniería del software
Computación</t>
  </si>
  <si>
    <t>Diseño y programación OO
Grafos y complejidad</t>
  </si>
  <si>
    <r>
      <rPr>
        <rFont val="uoc-sans, Arial"/>
        <color theme="1"/>
        <sz val="14.0"/>
      </rPr>
      <t>Diseño de sistemas operativos</t>
    </r>
  </si>
  <si>
    <r>
      <rPr>
        <rFont val="uoc-sans, Arial"/>
        <color theme="1"/>
        <sz val="14.0"/>
      </rPr>
      <t>Diseño de redes de computadores</t>
    </r>
  </si>
  <si>
    <t>Administración de redes y sistemas operativos
Estructura de redes de computadores</t>
  </si>
  <si>
    <r>
      <rPr>
        <rFont val="uoc-sans, Arial"/>
        <color theme="1"/>
        <sz val="14.0"/>
      </rPr>
      <t>Ingeniería de requisitos</t>
    </r>
  </si>
  <si>
    <t>Ingeniería del Software</t>
  </si>
  <si>
    <r>
      <rPr>
        <rFont val="uoc-sans, Arial"/>
        <color theme="1"/>
        <sz val="14.0"/>
      </rPr>
      <t>Ingeniería del software de componentes y sistemas distribudos</t>
    </r>
  </si>
  <si>
    <t>Análisis y diseño con patrones
Ingeniería del Software</t>
  </si>
  <si>
    <r>
      <rPr>
        <rFont val="uoc-sans, Arial"/>
        <color theme="1"/>
        <sz val="14.0"/>
      </rPr>
      <t>Estructura de redes de computadores</t>
    </r>
  </si>
  <si>
    <r>
      <rPr>
        <rFont val="uoc-sans, Arial"/>
        <color theme="1"/>
        <sz val="14.0"/>
      </rPr>
      <t>Fundamentos de sistemas de información</t>
    </r>
  </si>
  <si>
    <t>Tecnologías de la información
Sistemas de información</t>
  </si>
  <si>
    <r>
      <rPr>
        <rFont val="uoc-sans, Arial"/>
        <color theme="1"/>
        <sz val="14.0"/>
      </rPr>
      <t>Gestión funcional de servicios de SI/TI</t>
    </r>
  </si>
  <si>
    <t>Fundamentos de sistemas de información</t>
  </si>
  <si>
    <r>
      <rPr>
        <rFont val="uoc-sans, Arial"/>
        <color theme="1"/>
        <sz val="14.0"/>
      </rPr>
      <t>Iniciación a las matemáticas para la ingeniería</t>
    </r>
  </si>
  <si>
    <r>
      <rPr>
        <rFont val="uoc-sans, Arial"/>
        <color theme="1"/>
        <sz val="14.0"/>
      </rPr>
      <t>Integración de sistemas de información</t>
    </r>
  </si>
  <si>
    <r>
      <rPr>
        <rFont val="uoc-sans, Arial"/>
        <color theme="1"/>
        <sz val="14.0"/>
      </rPr>
      <t>Mineria de datos</t>
    </r>
  </si>
  <si>
    <t>Estadística
Uso de base de datos
Fundamentos de programación</t>
  </si>
  <si>
    <r>
      <rPr>
        <rFont val="uoc-sans, Arial"/>
        <color theme="1"/>
        <sz val="14.0"/>
      </rPr>
      <t>Proyecto de desarrollo del software</t>
    </r>
  </si>
  <si>
    <t>Diseño de base de datos
Ing. de requisitos
Ing. del software de componentes y sistemas distribuidos
Diseño de estructuras de datos
Interacción persona ordenador</t>
  </si>
  <si>
    <r>
      <rPr>
        <rFont val="uoc-sans, Arial"/>
        <color theme="1"/>
        <sz val="14.0"/>
      </rPr>
      <t>Representación del conocimiento</t>
    </r>
  </si>
  <si>
    <r>
      <rPr>
        <rFont val="uoc-sans, Arial"/>
        <color theme="1"/>
        <sz val="14.0"/>
      </rPr>
      <t>Seguridad en redes de computadores</t>
    </r>
  </si>
  <si>
    <t>Ingeniería de computadores
Tecnologías de la información</t>
  </si>
  <si>
    <t>Redes y aplicaciones Internet
Estructura de redes de computadores (en caso de querarla cursar)</t>
  </si>
  <si>
    <r>
      <rPr>
        <rFont val="uoc-sans, Arial"/>
        <color theme="1"/>
        <sz val="14.0"/>
      </rPr>
      <t>Sistemas empotrados</t>
    </r>
  </si>
  <si>
    <t>Redes y aplicaciones Internet
Prácticas de programación</t>
  </si>
  <si>
    <r>
      <rPr>
        <rFont val="uoc-sans, Arial"/>
        <color theme="1"/>
        <sz val="14.0"/>
      </rPr>
      <t>Uso de sistemas de información en las organizaciones</t>
    </r>
  </si>
  <si>
    <t>Idea para cursar 1er semestre 2026:</t>
  </si>
  <si>
    <t>18 créditos</t>
  </si>
  <si>
    <r>
      <rPr>
        <rFont val="uoc-sans, Arial"/>
        <color theme="1"/>
        <sz val="14.0"/>
      </rPr>
      <t>Ingeniería del software</t>
    </r>
  </si>
  <si>
    <t>Convalidada</t>
  </si>
  <si>
    <r>
      <rPr>
        <rFont val="uoc-sans, Arial"/>
        <color theme="1"/>
        <sz val="14.0"/>
      </rPr>
      <t>Fundamentos de computadores</t>
    </r>
  </si>
  <si>
    <t>Repetirla con trabajos a ver si me libro del examen</t>
  </si>
  <si>
    <r>
      <rPr>
        <rFont val="Arial"/>
        <strike/>
        <color theme="1"/>
        <sz val="14.0"/>
      </rPr>
      <t>Gestión de proyectos</t>
    </r>
    <r>
      <rPr>
        <rFont val="Arial"/>
        <color theme="1"/>
        <sz val="14.0"/>
      </rPr>
      <t xml:space="preserve"> Interacción persona-ordenador</t>
    </r>
  </si>
  <si>
    <t>No tiene examen (EC)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</si>
</sst>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5.0"/>
      <color theme="1"/>
      <name val="Arial"/>
    </font>
    <font>
      <b/>
      <sz val="15.0"/>
      <color theme="1"/>
      <name val="Uoc-sans"/>
    </font>
    <font>
      <sz val="15.0"/>
      <color theme="1"/>
      <name val="Arial"/>
      <scheme val="minor"/>
    </font>
    <font>
      <sz val="14.0"/>
      <color theme="1"/>
      <name val="Uoc-sans"/>
    </font>
    <font>
      <sz val="15.0"/>
      <color theme="1"/>
      <name val="Uoc-sans"/>
    </font>
    <font>
      <i/>
      <sz val="13.0"/>
      <color theme="1"/>
      <name val="Uoc-sans"/>
    </font>
    <font>
      <b/>
      <sz val="15.0"/>
      <color theme="1"/>
      <name val="Arial"/>
      <scheme val="minor"/>
    </font>
    <font>
      <sz val="10.0"/>
      <color theme="1"/>
      <name val="Arial"/>
      <scheme val="minor"/>
    </font>
    <font>
      <sz val="14.0"/>
      <color theme="1"/>
      <name val="Arial"/>
    </font>
    <font>
      <sz val="14.0"/>
      <color rgb="FF0000FF"/>
      <name val="Uoc-sans"/>
    </font>
    <font>
      <i/>
      <sz val="13.0"/>
      <color theme="1"/>
      <name val="Arial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</fills>
  <borders count="13">
    <border/>
    <border>
      <top style="thick">
        <color rgb="FF000078"/>
      </top>
    </border>
    <border>
      <left style="thick">
        <color rgb="FF4285F4"/>
      </left>
      <top style="thick">
        <color rgb="FF4285F4"/>
      </top>
      <bottom style="thick">
        <color rgb="FF4285F4"/>
      </bottom>
    </border>
    <border>
      <top style="thick">
        <color rgb="FF4285F4"/>
      </top>
      <bottom style="thick">
        <color rgb="FF4285F4"/>
      </bottom>
    </border>
    <border>
      <right style="thick">
        <color rgb="FF4285F4"/>
      </right>
      <top style="thick">
        <color rgb="FF4285F4"/>
      </top>
      <bottom style="thick">
        <color rgb="FF4285F4"/>
      </bottom>
    </border>
    <border>
      <left style="thick">
        <color rgb="FFFBBC04"/>
      </left>
      <top style="thick">
        <color rgb="FFFBBC04"/>
      </top>
    </border>
    <border>
      <top style="thick">
        <color rgb="FFFBBC04"/>
      </top>
    </border>
    <border>
      <right style="thick">
        <color rgb="FFFBBC04"/>
      </right>
      <top style="thick">
        <color rgb="FFFBBC04"/>
      </top>
    </border>
    <border>
      <left style="thick">
        <color rgb="FFFBBC04"/>
      </left>
    </border>
    <border>
      <right style="thick">
        <color rgb="FFFBBC04"/>
      </right>
    </border>
    <border>
      <left style="thick">
        <color rgb="FFFBBC04"/>
      </left>
      <bottom style="thick">
        <color rgb="FFFBBC04"/>
      </bottom>
    </border>
    <border>
      <bottom style="thick">
        <color rgb="FFFBBC04"/>
      </bottom>
    </border>
    <border>
      <right style="thick">
        <color rgb="FFFBBC04"/>
      </right>
      <bottom style="thick">
        <color rgb="FFFBBC0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0" fillId="0" fontId="3" numFmtId="0" xfId="0" applyFont="1"/>
    <xf borderId="1" fillId="3" fontId="4" numFmtId="0" xfId="0" applyAlignment="1" applyBorder="1" applyFill="1" applyFont="1">
      <alignment readingOrder="0" vertical="top"/>
    </xf>
    <xf borderId="1" fillId="3" fontId="4" numFmtId="0" xfId="0" applyAlignment="1" applyBorder="1" applyFont="1">
      <alignment horizontal="center" readingOrder="0" vertical="top"/>
    </xf>
    <xf borderId="1" fillId="3" fontId="5" numFmtId="0" xfId="0" applyAlignment="1" applyBorder="1" applyFont="1">
      <alignment vertical="top"/>
    </xf>
    <xf borderId="1" fillId="3" fontId="5" numFmtId="0" xfId="0" applyAlignment="1" applyBorder="1" applyFont="1">
      <alignment readingOrder="0" vertical="top"/>
    </xf>
    <xf borderId="1" fillId="3" fontId="6" numFmtId="0" xfId="0" applyAlignment="1" applyBorder="1" applyFont="1">
      <alignment readingOrder="0" vertical="top"/>
    </xf>
    <xf borderId="2" fillId="0" fontId="7" numFmtId="0" xfId="0" applyBorder="1" applyFont="1"/>
    <xf borderId="3" fillId="0" fontId="7" numFmtId="0" xfId="0" applyBorder="1" applyFont="1"/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left"/>
    </xf>
    <xf borderId="1" fillId="4" fontId="4" numFmtId="0" xfId="0" applyAlignment="1" applyBorder="1" applyFill="1" applyFont="1">
      <alignment readingOrder="0" vertical="top"/>
    </xf>
    <xf borderId="1" fillId="4" fontId="4" numFmtId="0" xfId="0" applyAlignment="1" applyBorder="1" applyFont="1">
      <alignment horizontal="center" readingOrder="0" vertical="top"/>
    </xf>
    <xf borderId="1" fillId="4" fontId="5" numFmtId="0" xfId="0" applyAlignment="1" applyBorder="1" applyFont="1">
      <alignment vertical="top"/>
    </xf>
    <xf borderId="1" fillId="4" fontId="5" numFmtId="0" xfId="0" applyAlignment="1" applyBorder="1" applyFont="1">
      <alignment readingOrder="0" vertical="top"/>
    </xf>
    <xf borderId="1" fillId="4" fontId="6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5" fillId="5" fontId="7" numFmtId="0" xfId="0" applyAlignment="1" applyBorder="1" applyFill="1" applyFont="1">
      <alignment readingOrder="0"/>
    </xf>
    <xf borderId="6" fillId="5" fontId="3" numFmtId="0" xfId="0" applyBorder="1" applyFont="1"/>
    <xf borderId="7" fillId="5" fontId="3" numFmtId="0" xfId="0" applyAlignment="1" applyBorder="1" applyFont="1">
      <alignment readingOrder="0"/>
    </xf>
    <xf borderId="8" fillId="5" fontId="3" numFmtId="0" xfId="0" applyBorder="1" applyFont="1"/>
    <xf borderId="0" fillId="5" fontId="3" numFmtId="0" xfId="0" applyFont="1"/>
    <xf borderId="9" fillId="5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1" fillId="6" fontId="4" numFmtId="0" xfId="0" applyAlignment="1" applyBorder="1" applyFill="1" applyFont="1">
      <alignment readingOrder="0" vertical="top"/>
    </xf>
    <xf borderId="1" fillId="6" fontId="4" numFmtId="0" xfId="0" applyAlignment="1" applyBorder="1" applyFont="1">
      <alignment horizontal="center" readingOrder="0" vertical="top"/>
    </xf>
    <xf borderId="1" fillId="6" fontId="5" numFmtId="0" xfId="0" applyAlignment="1" applyBorder="1" applyFont="1">
      <alignment vertical="top"/>
    </xf>
    <xf borderId="1" fillId="6" fontId="5" numFmtId="0" xfId="0" applyAlignment="1" applyBorder="1" applyFont="1">
      <alignment readingOrder="0" vertical="top"/>
    </xf>
    <xf borderId="1" fillId="6" fontId="6" numFmtId="0" xfId="0" applyAlignment="1" applyBorder="1" applyFont="1">
      <alignment readingOrder="0" vertical="top"/>
    </xf>
    <xf borderId="0" fillId="0" fontId="8" numFmtId="0" xfId="0" applyAlignment="1" applyFont="1">
      <alignment readingOrder="0"/>
    </xf>
    <xf borderId="10" fillId="5" fontId="3" numFmtId="0" xfId="0" applyBorder="1" applyFont="1"/>
    <xf borderId="11" fillId="5" fontId="3" numFmtId="0" xfId="0" applyBorder="1" applyFont="1"/>
    <xf borderId="12" fillId="5" fontId="3" numFmtId="0" xfId="0" applyAlignment="1" applyBorder="1" applyFont="1">
      <alignment readingOrder="0"/>
    </xf>
    <xf borderId="1" fillId="7" fontId="4" numFmtId="0" xfId="0" applyAlignment="1" applyBorder="1" applyFill="1" applyFont="1">
      <alignment readingOrder="0" vertical="top"/>
    </xf>
    <xf borderId="1" fillId="7" fontId="4" numFmtId="0" xfId="0" applyAlignment="1" applyBorder="1" applyFont="1">
      <alignment horizontal="center" readingOrder="0" vertical="top"/>
    </xf>
    <xf borderId="1" fillId="7" fontId="5" numFmtId="0" xfId="0" applyAlignment="1" applyBorder="1" applyFont="1">
      <alignment vertical="top"/>
    </xf>
    <xf borderId="1" fillId="7" fontId="5" numFmtId="0" xfId="0" applyAlignment="1" applyBorder="1" applyFont="1">
      <alignment readingOrder="0" vertical="top"/>
    </xf>
    <xf borderId="1" fillId="7" fontId="6" numFmtId="0" xfId="0" applyAlignment="1" applyBorder="1" applyFont="1">
      <alignment readingOrder="0" vertical="top"/>
    </xf>
    <xf borderId="1" fillId="4" fontId="9" numFmtId="0" xfId="0" applyAlignment="1" applyBorder="1" applyFont="1">
      <alignment readingOrder="0" vertical="top"/>
    </xf>
    <xf borderId="1" fillId="3" fontId="5" numFmtId="0" xfId="0" applyAlignment="1" applyBorder="1" applyFont="1">
      <alignment vertical="top"/>
    </xf>
    <xf borderId="1" fillId="4" fontId="5" numFmtId="0" xfId="0" applyAlignment="1" applyBorder="1" applyFont="1">
      <alignment vertical="top"/>
    </xf>
    <xf borderId="0" fillId="3" fontId="7" numFmtId="0" xfId="0" applyAlignment="1" applyFont="1">
      <alignment readingOrder="0"/>
    </xf>
    <xf borderId="1" fillId="6" fontId="5" numFmtId="0" xfId="0" applyAlignment="1" applyBorder="1" applyFont="1">
      <alignment vertical="top"/>
    </xf>
    <xf borderId="1" fillId="4" fontId="6" numFmtId="0" xfId="0" applyAlignment="1" applyBorder="1" applyFont="1">
      <alignment vertical="top"/>
    </xf>
    <xf borderId="1" fillId="0" fontId="10" numFmtId="0" xfId="0" applyAlignment="1" applyBorder="1" applyFont="1">
      <alignment readingOrder="0" vertical="top"/>
    </xf>
    <xf borderId="1" fillId="6" fontId="11" numFmtId="0" xfId="0" applyAlignment="1" applyBorder="1" applyFont="1">
      <alignment readingOrder="0" vertical="top"/>
    </xf>
    <xf borderId="1" fillId="3" fontId="11" numFmtId="0" xfId="0" applyAlignment="1" applyBorder="1" applyFont="1">
      <alignment readingOrder="0" vertical="top"/>
    </xf>
    <xf borderId="1" fillId="3" fontId="10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1" fillId="0" fontId="11" numFmtId="0" xfId="0" applyAlignment="1" applyBorder="1" applyFont="1">
      <alignment readingOrder="0" vertical="top"/>
    </xf>
    <xf borderId="0" fillId="8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8" fontId="14" numFmtId="0" xfId="0" applyFont="1"/>
    <xf borderId="0" fillId="0" fontId="15" numFmtId="0" xfId="0" applyAlignment="1" applyFont="1">
      <alignment readingOrder="0"/>
    </xf>
    <xf borderId="0" fillId="8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mpus.uoc.edu/estudiant/tramits/es/treballs_finals/GR05.html" TargetMode="External"/><Relationship Id="rId2" Type="http://schemas.openxmlformats.org/officeDocument/2006/relationships/hyperlink" Target="https://campus.uoc.edu/estudiant/tramits/ca/practiques/practiques_curriculars/index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5"/>
    <col customWidth="1" min="2" max="2" width="17.88"/>
    <col customWidth="1" min="3" max="3" width="16.63"/>
    <col customWidth="1" hidden="1" min="4" max="4" width="64.25"/>
    <col hidden="1" min="5" max="6" width="12.63"/>
    <col customWidth="1" min="7" max="7" width="54.88"/>
    <col customWidth="1" min="8" max="8" width="16.38"/>
    <col customWidth="1" min="9" max="9" width="17.25"/>
    <col customWidth="1" min="10" max="10" width="31.5"/>
    <col customWidth="1" min="11" max="11" width="23.0"/>
    <col customWidth="1" min="12" max="12" width="15.63"/>
    <col customWidth="1" min="13" max="14" width="14.0"/>
    <col customWidth="1" min="18" max="18" width="20.5"/>
    <col customWidth="1" min="19" max="19" width="22.63"/>
    <col customWidth="1" min="20" max="2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8</v>
      </c>
      <c r="B2" s="4" t="s">
        <v>9</v>
      </c>
      <c r="C2" s="5">
        <v>6.0</v>
      </c>
      <c r="D2" s="6"/>
      <c r="E2" s="7" t="s">
        <v>10</v>
      </c>
      <c r="F2" s="7" t="s">
        <v>11</v>
      </c>
      <c r="G2" s="8" t="s">
        <v>12</v>
      </c>
      <c r="H2" s="3"/>
      <c r="I2" s="3"/>
      <c r="J2" s="9" t="s">
        <v>13</v>
      </c>
      <c r="K2" s="10">
        <f>SUM(H2:H56)</f>
        <v>54</v>
      </c>
      <c r="L2" s="11" t="s">
        <v>14</v>
      </c>
      <c r="M2" s="12">
        <v>240.0</v>
      </c>
      <c r="N2" s="3"/>
      <c r="P2" s="3"/>
      <c r="Q2" s="3"/>
      <c r="U2" s="3"/>
      <c r="V2" s="3"/>
      <c r="W2" s="3"/>
    </row>
    <row r="3">
      <c r="A3" s="4" t="s">
        <v>15</v>
      </c>
      <c r="B3" s="4" t="s">
        <v>9</v>
      </c>
      <c r="C3" s="5">
        <v>6.0</v>
      </c>
      <c r="D3" s="6"/>
      <c r="E3" s="7" t="s">
        <v>10</v>
      </c>
      <c r="F3" s="7" t="s">
        <v>11</v>
      </c>
      <c r="G3" s="8" t="s">
        <v>16</v>
      </c>
      <c r="H3" s="3"/>
      <c r="I3" s="3"/>
      <c r="J3" s="3"/>
      <c r="K3" s="3"/>
      <c r="L3" s="3"/>
      <c r="M3" s="3"/>
      <c r="N3" s="3"/>
      <c r="P3" s="3"/>
      <c r="Q3" s="3"/>
      <c r="U3" s="3"/>
      <c r="V3" s="3"/>
      <c r="W3" s="3"/>
    </row>
    <row r="4">
      <c r="A4" s="13" t="s">
        <v>17</v>
      </c>
      <c r="B4" s="13" t="s">
        <v>9</v>
      </c>
      <c r="C4" s="14">
        <v>6.0</v>
      </c>
      <c r="D4" s="15"/>
      <c r="E4" s="16" t="s">
        <v>18</v>
      </c>
      <c r="F4" s="16" t="s">
        <v>11</v>
      </c>
      <c r="G4" s="17" t="s">
        <v>12</v>
      </c>
      <c r="H4" s="18">
        <v>6.0</v>
      </c>
      <c r="I4" s="3"/>
      <c r="K4" s="19" t="s">
        <v>19</v>
      </c>
      <c r="L4" s="20">
        <f>SUM(M2-K2)</f>
        <v>186</v>
      </c>
      <c r="M4" s="21" t="s">
        <v>20</v>
      </c>
      <c r="N4" s="3"/>
      <c r="P4" s="3"/>
      <c r="Q4" s="3"/>
      <c r="U4" s="3"/>
      <c r="V4" s="3"/>
      <c r="W4" s="3"/>
    </row>
    <row r="5">
      <c r="A5" s="13" t="s">
        <v>21</v>
      </c>
      <c r="B5" s="13" t="s">
        <v>9</v>
      </c>
      <c r="C5" s="14">
        <v>6.0</v>
      </c>
      <c r="D5" s="15"/>
      <c r="E5" s="16" t="s">
        <v>22</v>
      </c>
      <c r="F5" s="16" t="s">
        <v>11</v>
      </c>
      <c r="G5" s="17" t="s">
        <v>12</v>
      </c>
      <c r="H5" s="18">
        <v>6.0</v>
      </c>
      <c r="I5" s="3"/>
      <c r="K5" s="22"/>
      <c r="L5" s="23">
        <f>DIVIDE(L4,6)-3</f>
        <v>28</v>
      </c>
      <c r="M5" s="24" t="s">
        <v>23</v>
      </c>
      <c r="N5" s="3"/>
      <c r="P5" s="3"/>
      <c r="Q5" s="3"/>
      <c r="U5" s="3"/>
      <c r="V5" s="3"/>
      <c r="W5" s="3"/>
    </row>
    <row r="6">
      <c r="A6" s="25" t="s">
        <v>24</v>
      </c>
      <c r="B6" s="26" t="s">
        <v>9</v>
      </c>
      <c r="C6" s="27">
        <v>6.0</v>
      </c>
      <c r="D6" s="28"/>
      <c r="E6" s="29" t="s">
        <v>22</v>
      </c>
      <c r="F6" s="29" t="s">
        <v>11</v>
      </c>
      <c r="G6" s="30" t="s">
        <v>25</v>
      </c>
      <c r="H6" s="3"/>
      <c r="I6" s="3"/>
      <c r="K6" s="22"/>
      <c r="L6" s="23">
        <f>DIVIDE(L5,3)</f>
        <v>9.333333333</v>
      </c>
      <c r="M6" s="24" t="s">
        <v>26</v>
      </c>
      <c r="N6" s="31" t="s">
        <v>27</v>
      </c>
      <c r="P6" s="3"/>
      <c r="Q6" s="3"/>
      <c r="R6" s="3"/>
      <c r="S6" s="3"/>
      <c r="T6" s="3"/>
      <c r="U6" s="3"/>
      <c r="V6" s="3"/>
      <c r="W6" s="3"/>
    </row>
    <row r="7">
      <c r="A7" s="25" t="s">
        <v>28</v>
      </c>
      <c r="B7" s="26" t="s">
        <v>9</v>
      </c>
      <c r="C7" s="27">
        <v>6.0</v>
      </c>
      <c r="D7" s="28"/>
      <c r="E7" s="29" t="s">
        <v>22</v>
      </c>
      <c r="F7" s="29" t="s">
        <v>11</v>
      </c>
      <c r="G7" s="30" t="s">
        <v>25</v>
      </c>
      <c r="H7" s="3"/>
      <c r="I7" s="3"/>
      <c r="K7" s="32"/>
      <c r="L7" s="33">
        <f>DIVIDE(L6,2)</f>
        <v>4.666666667</v>
      </c>
      <c r="M7" s="34" t="s">
        <v>29</v>
      </c>
      <c r="N7" s="3"/>
      <c r="P7" s="3"/>
      <c r="Q7" s="3"/>
      <c r="R7" s="3"/>
      <c r="S7" s="3"/>
      <c r="T7" s="3"/>
      <c r="U7" s="3"/>
      <c r="V7" s="3"/>
      <c r="W7" s="3"/>
    </row>
    <row r="8">
      <c r="A8" s="35" t="s">
        <v>30</v>
      </c>
      <c r="B8" s="35" t="s">
        <v>9</v>
      </c>
      <c r="C8" s="36">
        <v>6.0</v>
      </c>
      <c r="D8" s="37"/>
      <c r="E8" s="38" t="s">
        <v>10</v>
      </c>
      <c r="F8" s="38" t="s">
        <v>11</v>
      </c>
      <c r="G8" s="39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5" t="s">
        <v>31</v>
      </c>
      <c r="B9" s="26" t="s">
        <v>9</v>
      </c>
      <c r="C9" s="27">
        <v>6.0</v>
      </c>
      <c r="D9" s="28"/>
      <c r="E9" s="29" t="s">
        <v>32</v>
      </c>
      <c r="F9" s="29" t="s">
        <v>11</v>
      </c>
      <c r="G9" s="30" t="s">
        <v>33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3" t="s">
        <v>34</v>
      </c>
      <c r="B10" s="13" t="s">
        <v>9</v>
      </c>
      <c r="C10" s="14">
        <v>6.0</v>
      </c>
      <c r="D10" s="15"/>
      <c r="E10" s="16" t="s">
        <v>22</v>
      </c>
      <c r="F10" s="16" t="s">
        <v>11</v>
      </c>
      <c r="G10" s="17" t="s">
        <v>12</v>
      </c>
      <c r="H10" s="18">
        <v>6.0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0" t="s">
        <v>35</v>
      </c>
      <c r="B11" s="13" t="s">
        <v>9</v>
      </c>
      <c r="C11" s="14">
        <v>6.0</v>
      </c>
      <c r="D11" s="15"/>
      <c r="E11" s="16" t="s">
        <v>10</v>
      </c>
      <c r="F11" s="16" t="s">
        <v>11</v>
      </c>
      <c r="G11" s="17" t="s">
        <v>16</v>
      </c>
      <c r="H11" s="18">
        <v>6.0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 t="s">
        <v>36</v>
      </c>
      <c r="B12" s="4" t="s">
        <v>37</v>
      </c>
      <c r="C12" s="5">
        <v>6.0</v>
      </c>
      <c r="D12" s="6"/>
      <c r="E12" s="41"/>
      <c r="F12" s="7" t="s">
        <v>11</v>
      </c>
      <c r="G12" s="8" t="s">
        <v>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 t="s">
        <v>39</v>
      </c>
      <c r="B13" s="4" t="s">
        <v>37</v>
      </c>
      <c r="C13" s="5">
        <v>6.0</v>
      </c>
      <c r="D13" s="6"/>
      <c r="E13" s="41"/>
      <c r="F13" s="7" t="s">
        <v>11</v>
      </c>
      <c r="G13" s="8" t="s">
        <v>40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3" t="s">
        <v>41</v>
      </c>
      <c r="B14" s="13" t="s">
        <v>37</v>
      </c>
      <c r="C14" s="14">
        <v>6.0</v>
      </c>
      <c r="D14" s="15"/>
      <c r="E14" s="42"/>
      <c r="F14" s="16" t="s">
        <v>11</v>
      </c>
      <c r="G14" s="17" t="s">
        <v>12</v>
      </c>
      <c r="H14" s="18">
        <v>6.0</v>
      </c>
      <c r="I14" s="3"/>
      <c r="J14" s="43" t="s">
        <v>42</v>
      </c>
      <c r="K14" s="43" t="s">
        <v>43</v>
      </c>
      <c r="L14" s="43" t="s">
        <v>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 t="s">
        <v>45</v>
      </c>
      <c r="B15" s="4" t="s">
        <v>37</v>
      </c>
      <c r="C15" s="5">
        <v>6.0</v>
      </c>
      <c r="D15" s="6"/>
      <c r="E15" s="41"/>
      <c r="F15" s="7" t="s">
        <v>11</v>
      </c>
      <c r="G15" s="8" t="s">
        <v>46</v>
      </c>
      <c r="H15" s="3"/>
      <c r="I15" s="3"/>
      <c r="J15" s="18" t="s">
        <v>47</v>
      </c>
      <c r="K15" s="18">
        <v>18.0</v>
      </c>
      <c r="L15" s="18">
        <v>18.0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5" t="s">
        <v>48</v>
      </c>
      <c r="B16" s="26" t="s">
        <v>37</v>
      </c>
      <c r="C16" s="27">
        <v>6.0</v>
      </c>
      <c r="D16" s="28"/>
      <c r="E16" s="44"/>
      <c r="F16" s="29" t="s">
        <v>11</v>
      </c>
      <c r="G16" s="30" t="s">
        <v>49</v>
      </c>
      <c r="H16" s="3"/>
      <c r="I16" s="3"/>
      <c r="J16" s="18" t="s">
        <v>50</v>
      </c>
      <c r="K16" s="18">
        <v>30.0</v>
      </c>
      <c r="L16" s="18">
        <v>24.0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13" t="s">
        <v>51</v>
      </c>
      <c r="B17" s="13" t="s">
        <v>37</v>
      </c>
      <c r="C17" s="14">
        <v>6.0</v>
      </c>
      <c r="D17" s="15"/>
      <c r="E17" s="42"/>
      <c r="F17" s="16" t="s">
        <v>11</v>
      </c>
      <c r="G17" s="17" t="s">
        <v>12</v>
      </c>
      <c r="H17" s="18">
        <v>6.0</v>
      </c>
      <c r="I17" s="3"/>
      <c r="J17" s="18" t="s">
        <v>52</v>
      </c>
      <c r="K17" s="18">
        <v>18.0</v>
      </c>
      <c r="L17" s="18" t="s">
        <v>53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25" t="s">
        <v>54</v>
      </c>
      <c r="B18" s="26" t="s">
        <v>37</v>
      </c>
      <c r="C18" s="27">
        <v>6.0</v>
      </c>
      <c r="D18" s="28"/>
      <c r="E18" s="44"/>
      <c r="F18" s="29" t="s">
        <v>11</v>
      </c>
      <c r="G18" s="30" t="s">
        <v>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5" t="s">
        <v>56</v>
      </c>
      <c r="B19" s="26" t="s">
        <v>37</v>
      </c>
      <c r="C19" s="27">
        <v>6.0</v>
      </c>
      <c r="D19" s="28"/>
      <c r="E19" s="44"/>
      <c r="F19" s="29" t="s">
        <v>11</v>
      </c>
      <c r="G19" s="30" t="s">
        <v>57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5" t="s">
        <v>58</v>
      </c>
      <c r="B20" s="26" t="s">
        <v>37</v>
      </c>
      <c r="C20" s="27">
        <v>6.0</v>
      </c>
      <c r="D20" s="28"/>
      <c r="E20" s="44"/>
      <c r="F20" s="29" t="s">
        <v>11</v>
      </c>
      <c r="G20" s="30" t="s">
        <v>59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13" t="s">
        <v>60</v>
      </c>
      <c r="B21" s="13" t="s">
        <v>37</v>
      </c>
      <c r="C21" s="14">
        <v>6.0</v>
      </c>
      <c r="D21" s="42"/>
      <c r="E21" s="42"/>
      <c r="F21" s="16" t="s">
        <v>11</v>
      </c>
      <c r="G21" s="45"/>
      <c r="H21" s="18">
        <v>6.0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5" t="s">
        <v>61</v>
      </c>
      <c r="B22" s="26" t="s">
        <v>37</v>
      </c>
      <c r="C22" s="27">
        <v>6.0</v>
      </c>
      <c r="D22" s="28"/>
      <c r="E22" s="44"/>
      <c r="F22" s="29" t="s">
        <v>11</v>
      </c>
      <c r="G22" s="30" t="s">
        <v>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5" t="s">
        <v>63</v>
      </c>
      <c r="B23" s="26" t="s">
        <v>37</v>
      </c>
      <c r="C23" s="27">
        <v>6.0</v>
      </c>
      <c r="D23" s="28"/>
      <c r="E23" s="44"/>
      <c r="F23" s="29" t="s">
        <v>11</v>
      </c>
      <c r="G23" s="30" t="s">
        <v>64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13" t="s">
        <v>65</v>
      </c>
      <c r="B24" s="13" t="s">
        <v>37</v>
      </c>
      <c r="C24" s="14">
        <v>6.0</v>
      </c>
      <c r="D24" s="15"/>
      <c r="E24" s="42"/>
      <c r="F24" s="16" t="s">
        <v>11</v>
      </c>
      <c r="G24" s="17" t="s">
        <v>66</v>
      </c>
      <c r="H24" s="18">
        <v>6.0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5" t="s">
        <v>67</v>
      </c>
      <c r="B25" s="26" t="s">
        <v>37</v>
      </c>
      <c r="C25" s="27">
        <v>6.0</v>
      </c>
      <c r="D25" s="28"/>
      <c r="E25" s="44"/>
      <c r="F25" s="29" t="s">
        <v>11</v>
      </c>
      <c r="G25" s="30" t="s">
        <v>68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5" t="s">
        <v>69</v>
      </c>
      <c r="B26" s="26" t="s">
        <v>37</v>
      </c>
      <c r="C26" s="27">
        <v>6.0</v>
      </c>
      <c r="D26" s="28"/>
      <c r="E26" s="44"/>
      <c r="F26" s="29" t="s">
        <v>11</v>
      </c>
      <c r="G26" s="30" t="s">
        <v>70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5" t="s">
        <v>71</v>
      </c>
      <c r="B27" s="26" t="s">
        <v>37</v>
      </c>
      <c r="C27" s="27">
        <v>6.0</v>
      </c>
      <c r="D27" s="28"/>
      <c r="E27" s="44"/>
      <c r="F27" s="29" t="s">
        <v>11</v>
      </c>
      <c r="G27" s="30" t="s">
        <v>72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46" t="s">
        <v>73</v>
      </c>
      <c r="B28" s="26" t="s">
        <v>37</v>
      </c>
      <c r="C28" s="27">
        <v>12.0</v>
      </c>
      <c r="D28" s="29" t="s">
        <v>74</v>
      </c>
      <c r="E28" s="44"/>
      <c r="F28" s="29" t="s">
        <v>11</v>
      </c>
      <c r="G28" s="47" t="s">
        <v>75</v>
      </c>
      <c r="H28" s="18">
        <v>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" t="s">
        <v>76</v>
      </c>
      <c r="B29" s="4" t="s">
        <v>77</v>
      </c>
      <c r="C29" s="5">
        <v>6.0</v>
      </c>
      <c r="D29" s="7" t="s">
        <v>78</v>
      </c>
      <c r="E29" s="41"/>
      <c r="F29" s="7" t="s">
        <v>79</v>
      </c>
      <c r="G29" s="48" t="s">
        <v>80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49" t="s">
        <v>81</v>
      </c>
      <c r="B30" s="4" t="s">
        <v>77</v>
      </c>
      <c r="C30" s="5">
        <v>12.0</v>
      </c>
      <c r="D30" s="6"/>
      <c r="E30" s="41"/>
      <c r="F30" s="7" t="s">
        <v>11</v>
      </c>
      <c r="G30" s="8" t="s">
        <v>82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5" t="s">
        <v>83</v>
      </c>
      <c r="B31" s="26" t="s">
        <v>77</v>
      </c>
      <c r="C31" s="27">
        <v>6.0</v>
      </c>
      <c r="D31" s="29" t="s">
        <v>66</v>
      </c>
      <c r="E31" s="44"/>
      <c r="F31" s="29" t="s">
        <v>11</v>
      </c>
      <c r="G31" s="30" t="s">
        <v>84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5" t="s">
        <v>85</v>
      </c>
      <c r="B32" s="26" t="s">
        <v>77</v>
      </c>
      <c r="C32" s="27">
        <v>6.0</v>
      </c>
      <c r="D32" s="29" t="s">
        <v>86</v>
      </c>
      <c r="E32" s="44"/>
      <c r="F32" s="29" t="s">
        <v>87</v>
      </c>
      <c r="G32" s="30" t="s">
        <v>88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5" t="s">
        <v>89</v>
      </c>
      <c r="B33" s="26" t="s">
        <v>77</v>
      </c>
      <c r="C33" s="27">
        <v>6.0</v>
      </c>
      <c r="D33" s="29" t="s">
        <v>90</v>
      </c>
      <c r="E33" s="44"/>
      <c r="F33" s="29" t="s">
        <v>87</v>
      </c>
      <c r="G33" s="30" t="s">
        <v>91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5" t="s">
        <v>92</v>
      </c>
      <c r="B34" s="26" t="s">
        <v>77</v>
      </c>
      <c r="C34" s="27">
        <v>6.0</v>
      </c>
      <c r="D34" s="29" t="s">
        <v>93</v>
      </c>
      <c r="E34" s="44"/>
      <c r="F34" s="29" t="s">
        <v>79</v>
      </c>
      <c r="G34" s="30" t="s">
        <v>94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5" t="s">
        <v>95</v>
      </c>
      <c r="B35" s="26" t="s">
        <v>77</v>
      </c>
      <c r="C35" s="27">
        <v>6.0</v>
      </c>
      <c r="D35" s="29" t="s">
        <v>90</v>
      </c>
      <c r="E35" s="44"/>
      <c r="F35" s="29" t="s">
        <v>79</v>
      </c>
      <c r="G35" s="30" t="s">
        <v>49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5" t="s">
        <v>96</v>
      </c>
      <c r="B36" s="26" t="s">
        <v>77</v>
      </c>
      <c r="C36" s="27">
        <v>6.0</v>
      </c>
      <c r="D36" s="29" t="s">
        <v>86</v>
      </c>
      <c r="E36" s="44"/>
      <c r="F36" s="29" t="s">
        <v>87</v>
      </c>
      <c r="G36" s="30" t="s">
        <v>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5" t="s">
        <v>98</v>
      </c>
      <c r="B37" s="26" t="s">
        <v>77</v>
      </c>
      <c r="C37" s="27">
        <v>6.0</v>
      </c>
      <c r="D37" s="29" t="s">
        <v>93</v>
      </c>
      <c r="E37" s="44"/>
      <c r="F37" s="29" t="s">
        <v>79</v>
      </c>
      <c r="G37" s="30" t="s">
        <v>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5" t="s">
        <v>99</v>
      </c>
      <c r="B38" s="26" t="s">
        <v>77</v>
      </c>
      <c r="C38" s="27">
        <v>6.0</v>
      </c>
      <c r="D38" s="29" t="s">
        <v>86</v>
      </c>
      <c r="E38" s="44"/>
      <c r="F38" s="29" t="s">
        <v>79</v>
      </c>
      <c r="G38" s="30" t="s">
        <v>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25" t="s">
        <v>101</v>
      </c>
      <c r="B39" s="26" t="s">
        <v>77</v>
      </c>
      <c r="C39" s="27">
        <v>6.0</v>
      </c>
      <c r="D39" s="28"/>
      <c r="E39" s="44"/>
      <c r="F39" s="29" t="s">
        <v>87</v>
      </c>
      <c r="G39" s="30" t="s">
        <v>102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25" t="s">
        <v>103</v>
      </c>
      <c r="B40" s="26" t="s">
        <v>77</v>
      </c>
      <c r="C40" s="27">
        <v>6.0</v>
      </c>
      <c r="D40" s="29" t="s">
        <v>78</v>
      </c>
      <c r="E40" s="44"/>
      <c r="F40" s="29" t="s">
        <v>79</v>
      </c>
      <c r="G40" s="30" t="s">
        <v>104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25" t="s">
        <v>105</v>
      </c>
      <c r="B41" s="26" t="s">
        <v>77</v>
      </c>
      <c r="C41" s="27">
        <v>6.0</v>
      </c>
      <c r="D41" s="29" t="s">
        <v>106</v>
      </c>
      <c r="E41" s="44"/>
      <c r="F41" s="29" t="s">
        <v>11</v>
      </c>
      <c r="G41" s="30" t="s">
        <v>107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25" t="s">
        <v>108</v>
      </c>
      <c r="B42" s="26" t="s">
        <v>77</v>
      </c>
      <c r="C42" s="27">
        <v>6.0</v>
      </c>
      <c r="D42" s="29" t="s">
        <v>90</v>
      </c>
      <c r="E42" s="44"/>
      <c r="F42" s="29" t="s">
        <v>79</v>
      </c>
      <c r="G42" s="30" t="s">
        <v>49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25" t="s">
        <v>109</v>
      </c>
      <c r="B43" s="26" t="s">
        <v>77</v>
      </c>
      <c r="C43" s="27">
        <v>6.0</v>
      </c>
      <c r="D43" s="29" t="s">
        <v>93</v>
      </c>
      <c r="E43" s="44"/>
      <c r="F43" s="29" t="s">
        <v>87</v>
      </c>
      <c r="G43" s="30" t="s">
        <v>110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25" t="s">
        <v>111</v>
      </c>
      <c r="B44" s="26" t="s">
        <v>77</v>
      </c>
      <c r="C44" s="27">
        <v>6.0</v>
      </c>
      <c r="D44" s="29" t="s">
        <v>66</v>
      </c>
      <c r="E44" s="44"/>
      <c r="F44" s="29" t="s">
        <v>79</v>
      </c>
      <c r="G44" s="30" t="s">
        <v>112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25" t="s">
        <v>113</v>
      </c>
      <c r="B45" s="26" t="s">
        <v>77</v>
      </c>
      <c r="C45" s="27">
        <v>6.0</v>
      </c>
      <c r="D45" s="29" t="s">
        <v>66</v>
      </c>
      <c r="E45" s="44"/>
      <c r="F45" s="29" t="s">
        <v>87</v>
      </c>
      <c r="G45" s="30" t="s">
        <v>114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25" t="s">
        <v>115</v>
      </c>
      <c r="B46" s="26" t="s">
        <v>77</v>
      </c>
      <c r="C46" s="27">
        <v>6.0</v>
      </c>
      <c r="D46" s="29" t="s">
        <v>90</v>
      </c>
      <c r="E46" s="44"/>
      <c r="F46" s="29" t="s">
        <v>87</v>
      </c>
      <c r="G46" s="30" t="s">
        <v>68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25" t="s">
        <v>116</v>
      </c>
      <c r="B47" s="26" t="s">
        <v>77</v>
      </c>
      <c r="C47" s="27">
        <v>6.0</v>
      </c>
      <c r="D47" s="29" t="s">
        <v>117</v>
      </c>
      <c r="E47" s="44"/>
      <c r="F47" s="29" t="s">
        <v>79</v>
      </c>
      <c r="G47" s="30" t="s">
        <v>80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25" t="s">
        <v>118</v>
      </c>
      <c r="B48" s="26" t="s">
        <v>77</v>
      </c>
      <c r="C48" s="27">
        <v>6.0</v>
      </c>
      <c r="D48" s="29" t="s">
        <v>78</v>
      </c>
      <c r="E48" s="44"/>
      <c r="F48" s="29" t="s">
        <v>87</v>
      </c>
      <c r="G48" s="30" t="s">
        <v>119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13" t="s">
        <v>120</v>
      </c>
      <c r="B49" s="13" t="s">
        <v>77</v>
      </c>
      <c r="C49" s="14">
        <v>6.0</v>
      </c>
      <c r="D49" s="15"/>
      <c r="E49" s="42"/>
      <c r="F49" s="16" t="s">
        <v>11</v>
      </c>
      <c r="G49" s="17" t="s">
        <v>12</v>
      </c>
      <c r="H49" s="18">
        <v>6.0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25" t="s">
        <v>121</v>
      </c>
      <c r="B50" s="26" t="s">
        <v>77</v>
      </c>
      <c r="C50" s="27">
        <v>6.0</v>
      </c>
      <c r="D50" s="29" t="s">
        <v>117</v>
      </c>
      <c r="E50" s="44"/>
      <c r="F50" s="29" t="s">
        <v>87</v>
      </c>
      <c r="G50" s="30" t="s">
        <v>119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25" t="s">
        <v>122</v>
      </c>
      <c r="B51" s="26" t="s">
        <v>77</v>
      </c>
      <c r="C51" s="27">
        <v>6.0</v>
      </c>
      <c r="D51" s="29" t="s">
        <v>86</v>
      </c>
      <c r="E51" s="44"/>
      <c r="F51" s="29" t="s">
        <v>11</v>
      </c>
      <c r="G51" s="30" t="s">
        <v>123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25" t="s">
        <v>124</v>
      </c>
      <c r="B52" s="25" t="s">
        <v>77</v>
      </c>
      <c r="C52" s="50">
        <v>12.0</v>
      </c>
      <c r="D52" s="51" t="s">
        <v>66</v>
      </c>
      <c r="E52" s="52"/>
      <c r="F52" s="51" t="s">
        <v>79</v>
      </c>
      <c r="G52" s="53" t="s">
        <v>125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25" t="s">
        <v>126</v>
      </c>
      <c r="B53" s="26" t="s">
        <v>77</v>
      </c>
      <c r="C53" s="27">
        <v>6.0</v>
      </c>
      <c r="D53" s="29" t="s">
        <v>86</v>
      </c>
      <c r="E53" s="44"/>
      <c r="F53" s="29" t="s">
        <v>87</v>
      </c>
      <c r="G53" s="30" t="s">
        <v>88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25" t="s">
        <v>127</v>
      </c>
      <c r="B54" s="26" t="s">
        <v>77</v>
      </c>
      <c r="C54" s="27">
        <v>6.0</v>
      </c>
      <c r="D54" s="29" t="s">
        <v>128</v>
      </c>
      <c r="E54" s="44"/>
      <c r="F54" s="29" t="s">
        <v>87</v>
      </c>
      <c r="G54" s="30" t="s">
        <v>129</v>
      </c>
      <c r="H54" s="18">
        <v>0.0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25" t="s">
        <v>130</v>
      </c>
      <c r="B55" s="26" t="s">
        <v>77</v>
      </c>
      <c r="C55" s="27">
        <v>6.0</v>
      </c>
      <c r="D55" s="29" t="s">
        <v>90</v>
      </c>
      <c r="E55" s="44"/>
      <c r="F55" s="29" t="s">
        <v>79</v>
      </c>
      <c r="G55" s="30" t="s">
        <v>131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5" t="s">
        <v>132</v>
      </c>
      <c r="B56" s="26" t="s">
        <v>77</v>
      </c>
      <c r="C56" s="27">
        <v>6.0</v>
      </c>
      <c r="D56" s="29" t="s">
        <v>78</v>
      </c>
      <c r="E56" s="44"/>
      <c r="F56" s="29" t="s">
        <v>87</v>
      </c>
      <c r="G56" s="30" t="s">
        <v>119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8"/>
      <c r="D58" s="3"/>
      <c r="E58" s="3"/>
      <c r="F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54" t="s">
        <v>133</v>
      </c>
      <c r="B60" s="55" t="s">
        <v>134</v>
      </c>
      <c r="C60" s="3"/>
      <c r="D60" s="3"/>
      <c r="E60" s="3"/>
      <c r="F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56" t="s">
        <v>135</v>
      </c>
      <c r="B61" s="57" t="s">
        <v>136</v>
      </c>
      <c r="C61" s="3"/>
      <c r="D61" s="3"/>
      <c r="E61" s="3"/>
      <c r="F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56" t="s">
        <v>137</v>
      </c>
      <c r="B62" s="57" t="s">
        <v>138</v>
      </c>
      <c r="C62" s="3"/>
      <c r="D62" s="3"/>
      <c r="E62" s="3"/>
      <c r="F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58" t="s">
        <v>139</v>
      </c>
      <c r="B63" s="57" t="s">
        <v>140</v>
      </c>
      <c r="C63" s="3"/>
      <c r="D63" s="3"/>
      <c r="E63" s="3"/>
      <c r="F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18"/>
      <c r="B65" s="1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</sheetData>
  <autoFilter ref="$A$1:$H$56">
    <sortState ref="A1:H56">
      <sortCondition ref="B1:B56"/>
    </sortState>
  </autoFilter>
  <hyperlinks>
    <hyperlink r:id="rId1" ref="A28"/>
    <hyperlink r:id="rId2" ref="A30"/>
  </hyperlinks>
  <drawing r:id="rId3"/>
</worksheet>
</file>